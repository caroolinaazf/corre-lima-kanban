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16a4d35bb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ro" sheetId="1" r:id="R4835e1c7f1d446f8"/>
    <x:sheet xmlns:r="http://schemas.openxmlformats.org/officeDocument/2006/relationships" name="Tareas" sheetId="2" r:id="R619fff69d53b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dd/mm/yyyy hh:mm"/>
  </x:numFmts>
  <x:fonts count="6">
    <x:font>
      <x:sz val="11"/>
      <x:name val="Carlito"/>
    </x:font>
    <x:font>
      <x:sz val="11"/>
      <x:color rgb="FF172033"/>
      <x:name val="Arial"/>
    </x:font>
    <x:font>
      <x:b/>
      <x:sz val="17"/>
      <x:color rgb="FF172033"/>
      <x:name val="Arial"/>
    </x:font>
    <x:font>
      <x:b/>
      <x:sz val="11"/>
      <x:color rgb="FFFFFFFF"/>
      <x:name val="Arial"/>
    </x:font>
    <x:font>
      <x:b/>
      <x:sz val="11"/>
      <x:color rgb="FF172033"/>
      <x:name val="Arial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475569"/>
      </x:patternFill>
    </x:fill>
    <x:fill>
      <x:patternFill patternType="solid">
        <x:fgColor rgb="FF1D4ED8"/>
      </x:patternFill>
    </x:fill>
    <x:fill>
      <x:patternFill patternType="solid">
        <x:fgColor rgb="FFA16207"/>
      </x:patternFill>
    </x:fill>
    <x:fill>
      <x:patternFill patternType="solid">
        <x:fgColor rgb="FF15803D"/>
      </x:patternFill>
    </x:fill>
    <x:fill>
      <x:patternFill patternType="solid">
        <x:fgColor rgb="FF243B53"/>
      </x:patternFill>
    </x:fill>
    <x:fill>
      <x:patternFill patternType="solid">
        <x:fgColor rgb="FFFFF8E6"/>
      </x:patternFill>
    </x:fill>
    <x:fill>
      <x:patternFill patternType="solid">
        <x:fgColor rgb="FF243B53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40"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  <x:dxf>
      <x:fill>
        <x:patternFill>
          <x:bgColor rgb="FFF1F5F9"/>
        </x:patternFill>
      </x:fill>
    </x:dxf>
    <x:dxf>
      <x:fill>
        <x:patternFill>
          <x:bgColor rgb="FFEFF6FF"/>
        </x:patternFill>
      </x:fill>
    </x:dxf>
    <x:dxf>
      <x:fill>
        <x:patternFill>
          <x:bgColor rgb="FFFFFBEB"/>
        </x:patternFill>
      </x:fill>
    </x:dxf>
    <x:dxf>
      <x:fill>
        <x:patternFill>
          <x:bgColor rgb="FFF0F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4dc049a5b477c" /><Relationship Type="http://schemas.openxmlformats.org/officeDocument/2006/relationships/theme" Target="/xl/theme/theme1.xml" Id="Rb448fa4243ef4080" /><Relationship Type="http://schemas.openxmlformats.org/officeDocument/2006/relationships/sharedStrings" Target="/xl/sharedStrings.xml" Id="Rc1f16e876ccb4c3a" /><Relationship Type="http://schemas.openxmlformats.org/officeDocument/2006/relationships/worksheet" Target="/xl/worksheets/sheet1.xml" Id="R4835e1c7f1d446f8" /><Relationship Type="http://schemas.openxmlformats.org/officeDocument/2006/relationships/worksheet" Target="/xl/worksheets/sheet2.xml" Id="R619fff69d53b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CORRE LIMA · Tablero Kanban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Estado actual · 13 de octubre de 2026</x:v>
      </x:c>
      <x:c r="B3" s="2"/>
      <x:c r="C3" s="2" t="str">
        <x:v>Proyecto completo · Grupo 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Inicio real (ingresar fecha):</x:v>
      </x:c>
      <x:c r="B4" s="5"/>
      <x:c r="C4" s="6" t="str">
        <x:v>Cierre del periodo (día 7):</x:v>
      </x:c>
      <x:c r="D4" s="6" t="str">
        <x:f>IF(B4="","",B4+6)</x:f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8" t="str">
        <x:v>Por hacer</x:v>
      </x:c>
      <x:c r="B6" s="10" t="str">
        <x:v>En proceso</x:v>
      </x:c>
      <x:c r="C6" s="12" t="str">
        <x:v>En revisión</x:v>
      </x:c>
      <x:c r="D6" s="14" t="str">
        <x:v>Terminado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n">
        <x:f>COUNTIFS(Tareas!$D$7:$D$16,A6)</x:f>
        <x:v>4</x:v>
      </x:c>
      <x:c r="B7" s="2" t="n">
        <x:f>COUNTIFS(Tareas!$D$7:$D$16,B6)</x:f>
        <x:v>0</x:v>
      </x:c>
      <x:c r="C7" s="2" t="n">
        <x:f>COUNTIFS(Tareas!$D$7:$D$16,C6)</x:f>
        <x:v>1</x:v>
      </x:c>
      <x:c r="D7" s="2" t="n">
        <x:f>COUNTIFS(Tareas!$D$7:$D$16,D6)</x:f>
        <x:v>5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4 tareas pendientes</x:v>
      </x:c>
      <x:c r="B8" s="2" t="str">
        <x:v>WIP máximo: 3</x:v>
      </x:c>
      <x:c r="C8" s="2" t="str">
        <x:v>WIP máximo: 2</x:v>
      </x:c>
      <x:c r="D8" s="2" t="str">
        <x:v>5 entregables de Design Thinking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59" customHeight="1">
      <x:c r="A9" s="15" t="str">
        <x:f>IF(Tareas!$D7=A$6,Tareas!$A7&amp;CHAR(10)&amp;Tareas!$B7&amp;CHAR(10)&amp;Tareas!$C7,"")</x:f>
      </x:c>
      <x:c r="B9" s="15" t="str">
        <x:f>IF(Tareas!$D7=B$6,Tareas!$A7&amp;CHAR(10)&amp;Tareas!$B7&amp;CHAR(10)&amp;Tareas!$C7,"")</x:f>
      </x:c>
      <x:c r="C9" s="15" t="str">
        <x:f>IF(Tareas!$D7=C$6,Tareas!$A7&amp;CHAR(10)&amp;Tareas!$B7&amp;CHAR(10)&amp;Tareas!$C7,"")</x:f>
      </x:c>
      <x:c r="D9" s="15" t="str">
        <x:f>IF(Tareas!$D7=D$6,Tareas!$A7&amp;CHAR(10)&amp;Tareas!$B7&amp;CHAR(10)&amp;Tareas!$C7,"")</x:f>
        <x:v>K01
Realizar las diez entrevistas
Grupo 6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59" customHeight="1">
      <x:c r="A10" s="15" t="str">
        <x:f>IF(Tareas!$D8=A$6,Tareas!$A8&amp;CHAR(10)&amp;Tareas!$B8&amp;CHAR(10)&amp;Tareas!$C8,"")</x:f>
      </x:c>
      <x:c r="B10" s="15" t="str">
        <x:f>IF(Tareas!$D8=B$6,Tareas!$A8&amp;CHAR(10)&amp;Tareas!$B8&amp;CHAR(10)&amp;Tareas!$C8,"")</x:f>
      </x:c>
      <x:c r="C10" s="15" t="str">
        <x:f>IF(Tareas!$D8=C$6,Tareas!$A8&amp;CHAR(10)&amp;Tareas!$B8&amp;CHAR(10)&amp;Tareas!$C8,"")</x:f>
      </x:c>
      <x:c r="D10" s="15" t="str">
        <x:f>IF(Tareas!$D8=D$6,Tareas!$A8&amp;CHAR(10)&amp;Tareas!$B8&amp;CHAR(10)&amp;Tareas!$C8,"")</x:f>
        <x:v>K02
Elaborar mapa de empatía y afinidad
Grupo 6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59" customHeight="1">
      <x:c r="A11" s="15" t="str">
        <x:f>IF(Tareas!$D9=A$6,Tareas!$A9&amp;CHAR(10)&amp;Tareas!$B9&amp;CHAR(10)&amp;Tareas!$C9,"")</x:f>
      </x:c>
      <x:c r="B11" s="15" t="str">
        <x:f>IF(Tareas!$D9=B$6,Tareas!$A9&amp;CHAR(10)&amp;Tareas!$B9&amp;CHAR(10)&amp;Tareas!$C9,"")</x:f>
      </x:c>
      <x:c r="C11" s="15" t="str">
        <x:f>IF(Tareas!$D9=C$6,Tareas!$A9&amp;CHAR(10)&amp;Tareas!$B9&amp;CHAR(10)&amp;Tareas!$C9,"")</x:f>
      </x:c>
      <x:c r="D11" s="15" t="str">
        <x:f>IF(Tareas!$D9=D$6,Tareas!$A9&amp;CHAR(10)&amp;Tareas!$B9&amp;CHAR(10)&amp;Tareas!$C9,"")</x:f>
        <x:v>K03
Definir problema, POV y HMW
Grupo 6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59" customHeight="1">
      <x:c r="A12" s="15" t="str">
        <x:f>IF(Tareas!$D10=A$6,Tareas!$A10&amp;CHAR(10)&amp;Tareas!$B10&amp;CHAR(10)&amp;Tareas!$C10,"")</x:f>
      </x:c>
      <x:c r="B12" s="15" t="str">
        <x:f>IF(Tareas!$D10=B$6,Tareas!$A10&amp;CHAR(10)&amp;Tareas!$B10&amp;CHAR(10)&amp;Tareas!$C10,"")</x:f>
      </x:c>
      <x:c r="C12" s="15" t="str">
        <x:f>IF(Tareas!$D10=C$6,Tareas!$A10&amp;CHAR(10)&amp;Tareas!$B10&amp;CHAR(10)&amp;Tareas!$C10,"")</x:f>
      </x:c>
      <x:c r="D12" s="15" t="str">
        <x:f>IF(Tareas!$D10=D$6,Tareas!$A10&amp;CHAR(10)&amp;Tareas!$B10&amp;CHAR(10)&amp;Tareas!$C10,"")</x:f>
        <x:v>K04
Idear y seleccionar Salidas Cerca
Grupo 6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59" customHeight="1">
      <x:c r="A13" s="15" t="str">
        <x:f>IF(Tareas!$D11=A$6,Tareas!$A11&amp;CHAR(10)&amp;Tareas!$B11&amp;CHAR(10)&amp;Tareas!$C11,"")</x:f>
      </x:c>
      <x:c r="B13" s="15" t="str">
        <x:f>IF(Tareas!$D11=B$6,Tareas!$A11&amp;CHAR(10)&amp;Tareas!$B11&amp;CHAR(10)&amp;Tareas!$C11,"")</x:f>
      </x:c>
      <x:c r="C13" s="15" t="str">
        <x:f>IF(Tareas!$D11=C$6,Tareas!$A11&amp;CHAR(10)&amp;Tareas!$B11&amp;CHAR(10)&amp;Tareas!$C11,"")</x:f>
      </x:c>
      <x:c r="D13" s="15" t="str">
        <x:f>IF(Tareas!$D11=D$6,Tareas!$A11&amp;CHAR(10)&amp;Tareas!$B11&amp;CHAR(10)&amp;Tareas!$C11,"")</x:f>
        <x:v>K05
Crear cinco pantallas y storyboard
Grupo 6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59" customHeight="1">
      <x:c r="A14" s="15" t="str">
        <x:f>IF(Tareas!$D12=A$6,Tareas!$A12&amp;CHAR(10)&amp;Tareas!$B12&amp;CHAR(10)&amp;Tareas!$C12,"")</x:f>
      </x:c>
      <x:c r="B14" s="15" t="str">
        <x:f>IF(Tareas!$D12=B$6,Tareas!$A12&amp;CHAR(10)&amp;Tareas!$B12&amp;CHAR(10)&amp;Tareas!$C12,"")</x:f>
      </x:c>
      <x:c r="C14" s="15" t="str">
        <x:f>IF(Tareas!$D12=C$6,Tareas!$A12&amp;CHAR(10)&amp;Tareas!$B12&amp;CHAR(10)&amp;Tareas!$C12,"")</x:f>
        <x:v>K06
Revisar supuesto y guion de prueba
Grupo 6</x:v>
      </x:c>
      <x:c r="D14" s="15" t="str">
        <x:f>IF(Tareas!$D12=D$6,Tareas!$A12&amp;CHAR(10)&amp;Tareas!$B12&amp;CHAR(10)&amp;Tareas!$C12,"")</x:f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59" customHeight="1">
      <x:c r="A15" s="15" t="str">
        <x:f>IF(Tareas!$D13=A$6,Tareas!$A13&amp;CHAR(10)&amp;Tareas!$B13&amp;CHAR(10)&amp;Tareas!$C13,"")</x:f>
        <x:v>K07
Realizar cinco pruebas del prototipo
Cada integrante</x:v>
      </x:c>
      <x:c r="B15" s="15" t="str">
        <x:f>IF(Tareas!$D13=B$6,Tareas!$A13&amp;CHAR(10)&amp;Tareas!$B13&amp;CHAR(10)&amp;Tareas!$C13,"")</x:f>
      </x:c>
      <x:c r="C15" s="15" t="str">
        <x:f>IF(Tareas!$D13=C$6,Tareas!$A13&amp;CHAR(10)&amp;Tareas!$B13&amp;CHAR(10)&amp;Tareas!$C13,"")</x:f>
      </x:c>
      <x:c r="D15" s="15" t="str">
        <x:f>IF(Tareas!$D13=D$6,Tareas!$A13&amp;CHAR(10)&amp;Tareas!$B13&amp;CHAR(10)&amp;Tareas!$C13,"")</x:f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59" customHeight="1">
      <x:c r="A16" s="15" t="str">
        <x:f>IF(Tareas!$D14=A$6,Tareas!$A14&amp;CHAR(10)&amp;Tareas!$B14&amp;CHAR(10)&amp;Tareas!$C14,"")</x:f>
        <x:v>K08
Analizar resultados y justificar mejoras
Grupo 6</x:v>
      </x:c>
      <x:c r="B16" s="15" t="str">
        <x:f>IF(Tareas!$D14=B$6,Tareas!$A14&amp;CHAR(10)&amp;Tareas!$B14&amp;CHAR(10)&amp;Tareas!$C14,"")</x:f>
      </x:c>
      <x:c r="C16" s="15" t="str">
        <x:f>IF(Tareas!$D14=C$6,Tareas!$A14&amp;CHAR(10)&amp;Tareas!$B14&amp;CHAR(10)&amp;Tareas!$C14,"")</x:f>
      </x:c>
      <x:c r="D16" s="15" t="str">
        <x:f>IF(Tareas!$D14=D$6,Tareas!$A14&amp;CHAR(10)&amp;Tareas!$B14&amp;CHAR(10)&amp;Tareas!$C14,"")</x:f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59" customHeight="1">
      <x:c r="A17" s="15" t="str">
        <x:f>IF(Tareas!$D15=A$6,Tareas!$A15&amp;CHAR(10)&amp;Tareas!$B15&amp;CHAR(10)&amp;Tareas!$C15,"")</x:f>
        <x:v>K09
Registrar seguimiento y métricas Kanban
Grupo 6</x:v>
      </x:c>
      <x:c r="B17" s="15" t="str">
        <x:f>IF(Tareas!$D15=B$6,Tareas!$A15&amp;CHAR(10)&amp;Tareas!$B15&amp;CHAR(10)&amp;Tareas!$C15,"")</x:f>
      </x:c>
      <x:c r="C17" s="15" t="str">
        <x:f>IF(Tareas!$D15=C$6,Tareas!$A15&amp;CHAR(10)&amp;Tareas!$B15&amp;CHAR(10)&amp;Tareas!$C15,"")</x:f>
      </x:c>
      <x:c r="D17" s="15" t="str">
        <x:f>IF(Tareas!$D15=D$6,Tareas!$A15&amp;CHAR(10)&amp;Tareas!$B15&amp;CHAR(10)&amp;Tareas!$C15,"")</x:f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59" customHeight="1">
      <x:c r="A18" s="15" t="str">
        <x:f>IF(Tareas!$D16=A$6,Tareas!$A16&amp;CHAR(10)&amp;Tareas!$B16&amp;CHAR(10)&amp;Tareas!$C16,"")</x:f>
        <x:v>K10
Integrar informe y preparar PPT
Grupo 6</x:v>
      </x:c>
      <x:c r="B18" s="15" t="str">
        <x:f>IF(Tareas!$D16=B$6,Tareas!$A16&amp;CHAR(10)&amp;Tareas!$B16&amp;CHAR(10)&amp;Tareas!$C16,"")</x:f>
      </x:c>
      <x:c r="C18" s="15" t="str">
        <x:f>IF(Tareas!$D16=C$6,Tareas!$A16&amp;CHAR(10)&amp;Tareas!$B16&amp;CHAR(10)&amp;Tareas!$C16,"")</x:f>
      </x:c>
      <x:c r="D18" s="15" t="str">
        <x:f>IF(Tareas!$D16=D$6,Tareas!$A16&amp;CHAR(10)&amp;Tareas!$B16&amp;CHAR(10)&amp;Tareas!$C16,"")</x:f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16" t="str">
        <x:v>MÉTRICAS DEL PERIODO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 t="str">
        <x:v>Throughput (tarjetas / 7 días)</x:v>
      </x:c>
      <x:c r="B21" s="2" t="str">
        <x:f>IF(B4="","Sin fechas de seguimiento",IF(COUNTIFS(Tareas!$D$7:$D$16,"Terminado",Tareas!$F$7:$F$16,0)&gt;0,"Faltan fechas de término",SUM(Tareas!M7:M16)))</x:f>
        <x:v>Sin fechas de seguimiento</x:v>
      </x:c>
      <x:c r="C21" s="2" t="str">
        <x:v>Control de capacidad</x:v>
      </x:c>
      <x:c r="D21" s="2" t="str">
        <x:f>IF(OR(B7&gt;3,C7&gt;2),"REVISAR LÍMITES WIP","Dentro del límite")</x:f>
        <x:v>Dentro del límite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 t="str">
        <x:v>Cycle time promedio (días)</x:v>
      </x:c>
      <x:c r="B22" s="17" t="str">
        <x:f>IF(NOT(ISNUMBER(B21)),"No calculable todavía",IF(B21=0,"Sin tareas terminadas",IF(COUNT(Tareas!O7:O16)&lt;B21,"Faltan fechas de inicio",SUM(Tareas!O7:O16)/B21)))</x:f>
        <x:v>No calculable todavía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16" t="str">
        <x:v>ALCANCE Y REGLAS DEL TABLERO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7" customHeight="1">
      <x:c r="A25" s="2" t="str">
        <x:v>5 tareas previas terminadas.</x:v>
      </x:c>
      <x:c r="B25" s="2"/>
      <x:c r="C25" s="2" t="str">
        <x:v>La validación del prototipo está pendiente.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7" customHeight="1">
      <x:c r="A26" s="2" t="str">
        <x:v>No acredita siete días de uso.</x:v>
      </x:c>
      <x:c r="B26" s="2"/>
      <x:c r="C26" s="2" t="str">
        <x:v>Registrar fechas y capturas reales.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7" customHeight="1">
      <x:c r="A27" s="2" t="str">
        <x:v>Máximo 3 tareas en proceso.</x:v>
      </x:c>
      <x:c r="B27" s="2"/>
      <x:c r="C27" s="2" t="str">
        <x:v>Máximo 2 tareas en revisión.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7" customHeight="1">
      <x:c r="A28" s="2" t="str">
        <x:v>Máximo 1 tarea activa por persona.</x:v>
      </x:c>
      <x:c r="B28" s="2"/>
      <x:c r="C28" s="2" t="str">
        <x:v>Los bloqueos siguen contando en el WIP.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7" customHeight="1">
      <x:c r="A29" s="2" t="str">
        <x:v>Inicio: responsable y dependencias listas.</x:v>
      </x:c>
      <x:c r="B29" s="2"/>
      <x:c r="C29" s="2" t="str">
        <x:v>Revisión: entregable completo y evidencia.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7" customHeight="1">
      <x:c r="A30" s="2" t="str">
        <x:v>Terminado: revisión y criterio cumplido.</x:v>
      </x:c>
      <x:c r="B30" s="2"/>
      <x:c r="C30" s="2" t="str">
        <x:v>Actualizar estados desde la hoja Tareas.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16" t="str">
        <x:v>EVIDENCIAS DEL SEGUIMIENTO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 t="str">
        <x:v>Momento</x:v>
      </x:c>
      <x:c r="B33" s="2" t="str">
        <x:v>Fecha prevista</x:v>
      </x:c>
      <x:c r="C33" s="2" t="str">
        <x:v>Fecha real</x:v>
      </x:c>
      <x:c r="D33" s="2" t="str">
        <x:v>Enlace a captura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 t="str">
        <x:v>Inicio · día 1</x:v>
      </x:c>
      <x:c r="B34" s="6" t="str">
        <x:f>IF($B$4="","",$B$4+0)</x:f>
      </x:c>
      <x:c r="C34" s="5"/>
      <x:c r="D34" s="4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 t="str">
        <x:v>Mitad · día 4</x:v>
      </x:c>
      <x:c r="B35" s="6" t="str">
        <x:f>IF($B$4="","",$B$4+3)</x:f>
      </x:c>
      <x:c r="C35" s="5"/>
      <x:c r="D35" s="4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 t="str">
        <x:v>Final · día 7</x:v>
      </x:c>
      <x:c r="B36" s="6" t="str">
        <x:f>IF($B$4="","",$B$4+6)</x:f>
      </x:c>
      <x:c r="C36" s="5"/>
      <x:c r="D36" s="4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 t="str">
        <x:v>Cuello de botella observado:</x:v>
      </x:c>
      <x:c r="B38" s="4" t="str">
        <x:v>Sin datos de flujo para identificarlo.</x:v>
      </x:c>
      <x:c r="C38" s="4"/>
      <x:c r="D38" s="4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 t="str">
        <x:v>Mejora para la semana siguiente:</x:v>
      </x:c>
      <x:c r="B40" s="4" t="str">
        <x:v>Revisión breve diaria propuesta.</x:v>
      </x:c>
      <x:c r="C40" s="4" t="str">
        <x:v>Evaluar tras observar los retrasos reales.</x:v>
      </x:c>
      <x:c r="D40" s="4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 t="str">
        <x:v>Pendiente: seguimiento semanal y pruebas.</x:v>
      </x:c>
      <x:c r="B42" s="2"/>
      <x:c r="C42" s="2" t="str">
        <x:v>Estado inicial reconstruido; no historial.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</x:sheetData>
  <x:conditionalFormatting sqref="A9:A9">
    <x:cfRule type="expression" dxfId="0" priority="1">
      <x:formula>LEN(A9)&gt;0</x:formula>
    </x:cfRule>
  </x:conditionalFormatting>
  <x:conditionalFormatting sqref="B9:B9">
    <x:cfRule type="expression" dxfId="1" priority="2">
      <x:formula>LEN(B9)&gt;0</x:formula>
    </x:cfRule>
  </x:conditionalFormatting>
  <x:conditionalFormatting sqref="C9:C9">
    <x:cfRule type="expression" dxfId="2" priority="3">
      <x:formula>LEN(C9)&gt;0</x:formula>
    </x:cfRule>
  </x:conditionalFormatting>
  <x:conditionalFormatting sqref="D9:D9">
    <x:cfRule type="expression" dxfId="3" priority="4">
      <x:formula>LEN(D9)&gt;0</x:formula>
    </x:cfRule>
  </x:conditionalFormatting>
  <x:conditionalFormatting sqref="A10:A10">
    <x:cfRule type="expression" dxfId="4" priority="5">
      <x:formula>LEN(A10)&gt;0</x:formula>
    </x:cfRule>
  </x:conditionalFormatting>
  <x:conditionalFormatting sqref="B10:B10">
    <x:cfRule type="expression" dxfId="5" priority="6">
      <x:formula>LEN(B10)&gt;0</x:formula>
    </x:cfRule>
  </x:conditionalFormatting>
  <x:conditionalFormatting sqref="C10:C10">
    <x:cfRule type="expression" dxfId="6" priority="7">
      <x:formula>LEN(C10)&gt;0</x:formula>
    </x:cfRule>
  </x:conditionalFormatting>
  <x:conditionalFormatting sqref="D10:D10">
    <x:cfRule type="expression" dxfId="7" priority="8">
      <x:formula>LEN(D10)&gt;0</x:formula>
    </x:cfRule>
  </x:conditionalFormatting>
  <x:conditionalFormatting sqref="A11:A11">
    <x:cfRule type="expression" dxfId="8" priority="9">
      <x:formula>LEN(A11)&gt;0</x:formula>
    </x:cfRule>
  </x:conditionalFormatting>
  <x:conditionalFormatting sqref="B11:B11">
    <x:cfRule type="expression" dxfId="9" priority="10">
      <x:formula>LEN(B11)&gt;0</x:formula>
    </x:cfRule>
  </x:conditionalFormatting>
  <x:conditionalFormatting sqref="C11:C11">
    <x:cfRule type="expression" dxfId="10" priority="11">
      <x:formula>LEN(C11)&gt;0</x:formula>
    </x:cfRule>
  </x:conditionalFormatting>
  <x:conditionalFormatting sqref="D11:D11">
    <x:cfRule type="expression" dxfId="11" priority="12">
      <x:formula>LEN(D11)&gt;0</x:formula>
    </x:cfRule>
  </x:conditionalFormatting>
  <x:conditionalFormatting sqref="A12:A12">
    <x:cfRule type="expression" dxfId="12" priority="13">
      <x:formula>LEN(A12)&gt;0</x:formula>
    </x:cfRule>
  </x:conditionalFormatting>
  <x:conditionalFormatting sqref="B12:B12">
    <x:cfRule type="expression" dxfId="13" priority="14">
      <x:formula>LEN(B12)&gt;0</x:formula>
    </x:cfRule>
  </x:conditionalFormatting>
  <x:conditionalFormatting sqref="C12:C12">
    <x:cfRule type="expression" dxfId="14" priority="15">
      <x:formula>LEN(C12)&gt;0</x:formula>
    </x:cfRule>
  </x:conditionalFormatting>
  <x:conditionalFormatting sqref="D12:D12">
    <x:cfRule type="expression" dxfId="15" priority="16">
      <x:formula>LEN(D12)&gt;0</x:formula>
    </x:cfRule>
  </x:conditionalFormatting>
  <x:conditionalFormatting sqref="A13:A13">
    <x:cfRule type="expression" dxfId="16" priority="17">
      <x:formula>LEN(A13)&gt;0</x:formula>
    </x:cfRule>
  </x:conditionalFormatting>
  <x:conditionalFormatting sqref="B13:B13">
    <x:cfRule type="expression" dxfId="17" priority="18">
      <x:formula>LEN(B13)&gt;0</x:formula>
    </x:cfRule>
  </x:conditionalFormatting>
  <x:conditionalFormatting sqref="C13:C13">
    <x:cfRule type="expression" dxfId="18" priority="19">
      <x:formula>LEN(C13)&gt;0</x:formula>
    </x:cfRule>
  </x:conditionalFormatting>
  <x:conditionalFormatting sqref="D13:D13">
    <x:cfRule type="expression" dxfId="19" priority="20">
      <x:formula>LEN(D13)&gt;0</x:formula>
    </x:cfRule>
  </x:conditionalFormatting>
  <x:conditionalFormatting sqref="A14:A14">
    <x:cfRule type="expression" dxfId="20" priority="21">
      <x:formula>LEN(A14)&gt;0</x:formula>
    </x:cfRule>
  </x:conditionalFormatting>
  <x:conditionalFormatting sqref="B14:B14">
    <x:cfRule type="expression" dxfId="21" priority="22">
      <x:formula>LEN(B14)&gt;0</x:formula>
    </x:cfRule>
  </x:conditionalFormatting>
  <x:conditionalFormatting sqref="C14:C14">
    <x:cfRule type="expression" dxfId="22" priority="23">
      <x:formula>LEN(C14)&gt;0</x:formula>
    </x:cfRule>
  </x:conditionalFormatting>
  <x:conditionalFormatting sqref="D14:D14">
    <x:cfRule type="expression" dxfId="23" priority="24">
      <x:formula>LEN(D14)&gt;0</x:formula>
    </x:cfRule>
  </x:conditionalFormatting>
  <x:conditionalFormatting sqref="A15:A15">
    <x:cfRule type="expression" dxfId="24" priority="25">
      <x:formula>LEN(A15)&gt;0</x:formula>
    </x:cfRule>
  </x:conditionalFormatting>
  <x:conditionalFormatting sqref="B15:B15">
    <x:cfRule type="expression" dxfId="25" priority="26">
      <x:formula>LEN(B15)&gt;0</x:formula>
    </x:cfRule>
  </x:conditionalFormatting>
  <x:conditionalFormatting sqref="C15:C15">
    <x:cfRule type="expression" dxfId="26" priority="27">
      <x:formula>LEN(C15)&gt;0</x:formula>
    </x:cfRule>
  </x:conditionalFormatting>
  <x:conditionalFormatting sqref="D15:D15">
    <x:cfRule type="expression" dxfId="27" priority="28">
      <x:formula>LEN(D15)&gt;0</x:formula>
    </x:cfRule>
  </x:conditionalFormatting>
  <x:conditionalFormatting sqref="A16:A16">
    <x:cfRule type="expression" dxfId="28" priority="29">
      <x:formula>LEN(A16)&gt;0</x:formula>
    </x:cfRule>
  </x:conditionalFormatting>
  <x:conditionalFormatting sqref="B16:B16">
    <x:cfRule type="expression" dxfId="29" priority="30">
      <x:formula>LEN(B16)&gt;0</x:formula>
    </x:cfRule>
  </x:conditionalFormatting>
  <x:conditionalFormatting sqref="C16:C16">
    <x:cfRule type="expression" dxfId="30" priority="31">
      <x:formula>LEN(C16)&gt;0</x:formula>
    </x:cfRule>
  </x:conditionalFormatting>
  <x:conditionalFormatting sqref="D16:D16">
    <x:cfRule type="expression" dxfId="31" priority="32">
      <x:formula>LEN(D16)&gt;0</x:formula>
    </x:cfRule>
  </x:conditionalFormatting>
  <x:conditionalFormatting sqref="A17:A17">
    <x:cfRule type="expression" dxfId="32" priority="33">
      <x:formula>LEN(A17)&gt;0</x:formula>
    </x:cfRule>
  </x:conditionalFormatting>
  <x:conditionalFormatting sqref="B17:B17">
    <x:cfRule type="expression" dxfId="33" priority="34">
      <x:formula>LEN(B17)&gt;0</x:formula>
    </x:cfRule>
  </x:conditionalFormatting>
  <x:conditionalFormatting sqref="C17:C17">
    <x:cfRule type="expression" dxfId="34" priority="35">
      <x:formula>LEN(C17)&gt;0</x:formula>
    </x:cfRule>
  </x:conditionalFormatting>
  <x:conditionalFormatting sqref="D17:D17">
    <x:cfRule type="expression" dxfId="35" priority="36">
      <x:formula>LEN(D17)&gt;0</x:formula>
    </x:cfRule>
  </x:conditionalFormatting>
  <x:conditionalFormatting sqref="A18:A18">
    <x:cfRule type="expression" dxfId="36" priority="37">
      <x:formula>LEN(A18)&gt;0</x:formula>
    </x:cfRule>
  </x:conditionalFormatting>
  <x:conditionalFormatting sqref="B18:B18">
    <x:cfRule type="expression" dxfId="37" priority="38">
      <x:formula>LEN(B18)&gt;0</x:formula>
    </x:cfRule>
  </x:conditionalFormatting>
  <x:conditionalFormatting sqref="C18:C18">
    <x:cfRule type="expression" dxfId="38" priority="39">
      <x:formula>LEN(C18)&gt;0</x:formula>
    </x:cfRule>
  </x:conditionalFormatting>
  <x:conditionalFormatting sqref="D18:D18">
    <x:cfRule type="expression" dxfId="39" priority="40">
      <x:formula>LEN(D18)&gt;0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17" hidden="0" customWidth="1"/>
    <x:col min="4" max="4" width="18" hidden="0" customWidth="1"/>
    <x:col min="5" max="5" width="21" hidden="0" customWidth="1"/>
    <x:col min="6" max="6" width="21" hidden="0" customWidth="1"/>
    <x:col min="7" max="7" width="47" hidden="0" customWidth="1"/>
    <x:col min="8" max="8" width="24" hidden="0" customWidth="1"/>
    <x:col min="9" max="9" width="17" hidden="0" customWidth="1"/>
    <x:col min="10" max="10" width="29" hidden="0" customWidth="1"/>
    <x:col min="11" max="11" width="17" hidden="0" customWidth="1"/>
    <x:col min="12" max="12" width="60" hidden="0" customWidth="1"/>
    <x:col min="13" max="13" width="18" hidden="0" customWidth="1"/>
    <x:col min="14" max="14" width="27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CORRE LIMA · Tareas y evidencia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Estado actual al 13/10/2026. Las cinco primeras tareas recogen avance previo de Design Thinking.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Las fechas reales de ejecución no fueron proporcionadas. No se han creado entrevistas ni movimientos ficticios.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Equipo: Alanis Diaz, Juan Luis Lopez, Niccol Marquez, Janice Yalta y Alessandra Zuñiga. Responsables futuros por confirmar.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19" t="str">
        <x:v>ID</x:v>
      </x:c>
      <x:c r="B6" s="19" t="str">
        <x:v>Tarea</x:v>
      </x:c>
      <x:c r="C6" s="19" t="str">
        <x:v>Responsable</x:v>
      </x:c>
      <x:c r="D6" s="19" t="str">
        <x:v>Estado</x:v>
      </x:c>
      <x:c r="E6" s="19" t="str">
        <x:v>Inicio real</x:v>
      </x:c>
      <x:c r="F6" s="19" t="str">
        <x:v>Fin real</x:v>
      </x:c>
      <x:c r="G6" s="19" t="str">
        <x:v>Criterio de terminado</x:v>
      </x:c>
      <x:c r="H6" s="19" t="str">
        <x:v>Dependencia</x:v>
      </x:c>
      <x:c r="I6" s="19" t="str">
        <x:v>Cycle time (días)</x:v>
      </x:c>
      <x:c r="J6" s="19" t="str">
        <x:v>Evidencia disponible / enlace</x:v>
      </x:c>
      <x:c r="K6" s="19" t="str">
        <x:v>Revisor</x:v>
      </x:c>
      <x:c r="L6" s="19" t="str">
        <x:v>Base disponible / siguiente paso / bloqueo</x:v>
      </x:c>
      <x:c r="M6" s="19" t="str">
        <x:v>Terminada en periodo</x:v>
      </x:c>
      <x:c r="N6" s="19" t="str">
        <x:v>Control de fechas</x:v>
      </x:c>
      <x:c r="O6" s="31" t="str">
        <x:v>Días de tarjetas del periodo</x:v>
      </x:c>
    </x:row>
    <x:row r="7" ht="88" customHeight="1">
      <x:c r="A7" s="15" t="str">
        <x:v>K01</x:v>
      </x:c>
      <x:c r="B7" s="15" t="str">
        <x:v>Realizar las diez entrevistas</x:v>
      </x:c>
      <x:c r="C7" s="20" t="str">
        <x:v>Grupo 6</x:v>
      </x:c>
      <x:c r="D7" s="20" t="str">
        <x:v>Terminado</x:v>
      </x:c>
      <x:c r="E7" s="21"/>
      <x:c r="F7" s="21"/>
      <x:c r="G7" s="15" t="str">
        <x:v>Diez entrevistas realizadas; dos por integrante y registro consolidado.</x:v>
      </x:c>
      <x:c r="H7" s="15" t="str">
        <x:v>Sin dependencia</x:v>
      </x:c>
      <x:c r="I7" s="22" t="str">
        <x:f>IF(AND(D7="Terminado",ISNUMBER(E7),ISNUMBER(F7),F7&gt;=E7),F7-E7,"")</x:f>
      </x:c>
      <x:c r="J7" s="20" t="str">
        <x:v>Word 1.3.2, 1.3.5 y 1.8.2–1.8.3</x:v>
      </x:c>
      <x:c r="K7" s="20"/>
      <x:c r="L7" s="20" t="str">
        <x:v>Trabajo previo confirmado por el equipo. Corresponde a investigación de necesidades, no a pruebas del prototipo.</x:v>
      </x:c>
      <x:c r="M7" s="15" t="str">
        <x:f>IF(Tablero!$B$4="","",IF(AND(D7="Terminado",ISNUMBER(F7),F7&gt;=Tablero!$B$4,F7&lt;Tablero!$B$4+7),1,0))</x:f>
      </x:c>
      <x:c r="N7" s="15" t="str">
        <x:f>IF(OR(E7="",F7=""),"Avance previo; faltan fechas",IF(F7&lt;E7,"Revisar fechas","Fechas registradas"))</x:f>
        <x:v>Avance previo; faltan fechas</x:v>
      </x:c>
      <x:c r="O7" s="23" t="str">
        <x:f>IF(AND(M7=1,ISNUMBER(I7)),I7,"")</x:f>
      </x:c>
    </x:row>
    <x:row r="8" ht="88" customHeight="1">
      <x:c r="A8" s="15" t="str">
        <x:v>K02</x:v>
      </x:c>
      <x:c r="B8" s="15" t="str">
        <x:v>Elaborar mapa de empatía y afinidad</x:v>
      </x:c>
      <x:c r="C8" s="20" t="str">
        <x:v>Grupo 6</x:v>
      </x:c>
      <x:c r="D8" s="20" t="str">
        <x:v>Terminado</x:v>
      </x:c>
      <x:c r="E8" s="21"/>
      <x:c r="F8" s="21"/>
      <x:c r="G8" s="15" t="str">
        <x:v>Mapa de empatía y agrupación de hallazgos incorporados al documento.</x:v>
      </x:c>
      <x:c r="H8" s="15" t="str">
        <x:v>K01</x:v>
      </x:c>
      <x:c r="I8" s="22" t="str">
        <x:f>IF(AND(D8="Terminado",ISNUMBER(E8),ISNUMBER(F8),F8&gt;=E8),F8-E8,"")</x:f>
      </x:c>
      <x:c r="J8" s="20" t="str">
        <x:v>Word 1.3.3 y 1.4.1</x:v>
      </x:c>
      <x:c r="K8" s="20"/>
      <x:c r="L8" s="20" t="str">
        <x:v>Contenido documentado. Revisar en la edición final que las referencias a los grupos de afinidad coincidan con la tabla.</x:v>
      </x:c>
      <x:c r="M8" s="15" t="str">
        <x:f>IF(Tablero!$B$4="","",IF(AND(D8="Terminado",ISNUMBER(F8),F8&gt;=Tablero!$B$4,F8&lt;Tablero!$B$4+7),1,0))</x:f>
      </x:c>
      <x:c r="N8" s="15" t="str">
        <x:f>IF(OR(E8="",F8=""),"Avance previo; faltan fechas",IF(F8&lt;E8,"Revisar fechas","Fechas registradas"))</x:f>
        <x:v>Avance previo; faltan fechas</x:v>
      </x:c>
      <x:c r="O8" s="23" t="str">
        <x:f>IF(AND(M8=1,ISNUMBER(I8)),I8,"")</x:f>
      </x:c>
    </x:row>
    <x:row r="9" ht="88" customHeight="1">
      <x:c r="A9" s="15" t="str">
        <x:v>K03</x:v>
      </x:c>
      <x:c r="B9" s="15" t="str">
        <x:v>Definir problema, POV y HMW</x:v>
      </x:c>
      <x:c r="C9" s="20" t="str">
        <x:v>Grupo 6</x:v>
      </x:c>
      <x:c r="D9" s="20" t="str">
        <x:v>Terminado</x:v>
      </x:c>
      <x:c r="E9" s="21"/>
      <x:c r="F9" s="21"/>
      <x:c r="G9" s="15" t="str">
        <x:v>Problema central, POV y pregunta HMW formulados y sustentados en los hallazgos.</x:v>
      </x:c>
      <x:c r="H9" s="15" t="str">
        <x:v>K02</x:v>
      </x:c>
      <x:c r="I9" s="22" t="str">
        <x:f>IF(AND(D9="Terminado",ISNUMBER(E9),ISNUMBER(F9),F9&gt;=E9),F9-E9,"")</x:f>
      </x:c>
      <x:c r="J9" s="20" t="str">
        <x:v>Word 1.4.3–1.4.5</x:v>
      </x:c>
      <x:c r="K9" s="20"/>
      <x:c r="L9" s="20" t="str">
        <x:v>Contenido documentado: compañía, cercanía y compatibilidad con el horario del corredor.</x:v>
      </x:c>
      <x:c r="M9" s="15" t="str">
        <x:f>IF(Tablero!$B$4="","",IF(AND(D9="Terminado",ISNUMBER(F9),F9&gt;=Tablero!$B$4,F9&lt;Tablero!$B$4+7),1,0))</x:f>
      </x:c>
      <x:c r="N9" s="15" t="str">
        <x:f>IF(OR(E9="",F9=""),"Avance previo; faltan fechas",IF(F9&lt;E9,"Revisar fechas","Fechas registradas"))</x:f>
        <x:v>Avance previo; faltan fechas</x:v>
      </x:c>
      <x:c r="O9" s="23" t="str">
        <x:f>IF(AND(M9=1,ISNUMBER(I9)),I9,"")</x:f>
      </x:c>
    </x:row>
    <x:row r="10" ht="88" customHeight="1">
      <x:c r="A10" s="15" t="str">
        <x:v>K04</x:v>
      </x:c>
      <x:c r="B10" s="15" t="str">
        <x:v>Idear y seleccionar Salidas Cerca</x:v>
      </x:c>
      <x:c r="C10" s="20" t="str">
        <x:v>Grupo 6</x:v>
      </x:c>
      <x:c r="D10" s="20" t="str">
        <x:v>Terminado</x:v>
      </x:c>
      <x:c r="E10" s="21"/>
      <x:c r="F10" s="21"/>
      <x:c r="G10" s="15" t="str">
        <x:v>SCAMPER, alternativas y matriz impacto–esfuerzo desarrollados; propuesta seleccionada.</x:v>
      </x:c>
      <x:c r="H10" s="15" t="str">
        <x:v>K03</x:v>
      </x:c>
      <x:c r="I10" s="22" t="str">
        <x:f>IF(AND(D10="Terminado",ISNUMBER(E10),ISNUMBER(F10),F10&gt;=E10),F10-E10,"")</x:f>
      </x:c>
      <x:c r="J10" s="20" t="str">
        <x:v>Word 1.5.1–1.5.4</x:v>
      </x:c>
      <x:c r="K10" s="20"/>
      <x:c r="L10" s="20" t="str">
        <x:v>Se seleccionó CORRE LIMA – Salidas Cerca. Las valoraciones de impacto y esfuerzo son estimaciones de diseño.</x:v>
      </x:c>
      <x:c r="M10" s="15" t="str">
        <x:f>IF(Tablero!$B$4="","",IF(AND(D10="Terminado",ISNUMBER(F10),F10&gt;=Tablero!$B$4,F10&lt;Tablero!$B$4+7),1,0))</x:f>
      </x:c>
      <x:c r="N10" s="15" t="str">
        <x:f>IF(OR(E10="",F10=""),"Avance previo; faltan fechas",IF(F10&lt;E10,"Revisar fechas","Fechas registradas"))</x:f>
        <x:v>Avance previo; faltan fechas</x:v>
      </x:c>
      <x:c r="O10" s="23" t="str">
        <x:f>IF(AND(M10=1,ISNUMBER(I10)),I10,"")</x:f>
      </x:c>
    </x:row>
    <x:row r="11" ht="88" customHeight="1">
      <x:c r="A11" s="15" t="str">
        <x:v>K05</x:v>
      </x:c>
      <x:c r="B11" s="15" t="str">
        <x:v>Crear cinco pantallas y storyboard</x:v>
      </x:c>
      <x:c r="C11" s="20" t="str">
        <x:v>Grupo 6</x:v>
      </x:c>
      <x:c r="D11" s="20" t="str">
        <x:v>Terminado</x:v>
      </x:c>
      <x:c r="E11" s="21"/>
      <x:c r="F11" s="21"/>
      <x:c r="G11" s="15" t="str">
        <x:v>Cinco pantallas y storyboard de seis viñetas elaborados e incorporados al Word.</x:v>
      </x:c>
      <x:c r="H11" s="15" t="str">
        <x:v>K04</x:v>
      </x:c>
      <x:c r="I11" s="22" t="str">
        <x:f>IF(AND(D11="Terminado",ISNUMBER(E11),ISNUMBER(F11),F11&gt;=E11),F11-E11,"")</x:f>
      </x:c>
      <x:c r="J11" s="20" t="str">
        <x:v>Word 1.6.1–1.6.3; figuras 2 y 3</x:v>
      </x:c>
      <x:c r="K11" s="20"/>
      <x:c r="L11" s="20" t="str">
        <x:v>Prototipo visual existente. Su creación está terminada; todavía falta probarlo con usuarios y ajustar su alcance.</x:v>
      </x:c>
      <x:c r="M11" s="15" t="str">
        <x:f>IF(Tablero!$B$4="","",IF(AND(D11="Terminado",ISNUMBER(F11),F11&gt;=Tablero!$B$4,F11&lt;Tablero!$B$4+7),1,0))</x:f>
      </x:c>
      <x:c r="N11" s="15" t="str">
        <x:f>IF(OR(E11="",F11=""),"Avance previo; faltan fechas",IF(F11&lt;E11,"Revisar fechas","Fechas registradas"))</x:f>
        <x:v>Avance previo; faltan fechas</x:v>
      </x:c>
      <x:c r="O11" s="23" t="str">
        <x:f>IF(AND(M11=1,ISNUMBER(I11)),I11,"")</x:f>
      </x:c>
    </x:row>
    <x:row r="12" ht="88" customHeight="1">
      <x:c r="A12" s="15" t="str">
        <x:v>K06</x:v>
      </x:c>
      <x:c r="B12" s="15" t="str">
        <x:v>Revisar supuesto y guion de prueba</x:v>
      </x:c>
      <x:c r="C12" s="20" t="str">
        <x:v>Grupo 6</x:v>
      </x:c>
      <x:c r="D12" s="20" t="str">
        <x:v>En revisión</x:v>
      </x:c>
      <x:c r="E12" s="21"/>
      <x:c r="F12" s="21"/>
      <x:c r="G12" s="15" t="str">
        <x:v>Supuesto, segmento, guion e indicadores acordados; versión común del prototipo seleccionada.</x:v>
      </x:c>
      <x:c r="H12" s="15" t="str">
        <x:v>K05</x:v>
      </x:c>
      <x:c r="I12" s="22" t="str">
        <x:f>IF(AND(D12="Terminado",ISNUMBER(E12),ISNUMBER(F12),F12&gt;=E12),F12-E12,"")</x:f>
      </x:c>
      <x:c r="J12" s="20" t="str">
        <x:v>Borrador de Lean Startup preparado para integrar al informe</x:v>
      </x:c>
      <x:c r="K12" s="20"/>
      <x:c r="L12" s="20" t="str">
        <x:v>Ubicación propuesta: borrador disponible para revisión del equipo. Priorizar consulta, detalle y decisión de unirse; aclarar que las salidas son simuladas.</x:v>
      </x:c>
      <x:c r="M12" s="15" t="str">
        <x:f>IF(Tablero!$B$4="","",IF(AND(D12="Terminado",ISNUMBER(F12),F12&gt;=Tablero!$B$4,F12&lt;Tablero!$B$4+7),1,0))</x:f>
      </x:c>
      <x:c r="N12" s="15" t="str">
        <x:f>IF(D12="Por hacer","",IF(NOT(ISNUMBER(E12)),"Falta inicio",IF(D12&lt;&gt;"Terminado","",IF(NOT(ISNUMBER(F12)),"Falta fin",IF(F12&lt;E12,"Revisar orden de fechas",IF(OR(J12="",K12=""),"Falta evidencia o revisor","Completo"))))))</x:f>
        <x:v>Falta inicio</x:v>
      </x:c>
      <x:c r="O12" s="23" t="str">
        <x:f>IF(AND(M12=1,ISNUMBER(I12)),I12,"")</x:f>
      </x:c>
    </x:row>
    <x:row r="13" ht="88" customHeight="1">
      <x:c r="A13" s="15" t="str">
        <x:v>K07</x:v>
      </x:c>
      <x:c r="B13" s="15" t="str">
        <x:v>Realizar cinco pruebas del prototipo</x:v>
      </x:c>
      <x:c r="C13" s="20" t="str">
        <x:v>Cada integrante</x:v>
      </x:c>
      <x:c r="D13" s="20" t="str">
        <x:v>Por hacer</x:v>
      </x:c>
      <x:c r="E13" s="21"/>
      <x:c r="F13" s="21"/>
      <x:c r="G13" s="15" t="str">
        <x:v>Cinco pruebas nuevas, una por integrante con personas distintas; fichas anonimizadas completas.</x:v>
      </x:c>
      <x:c r="H13" s="15" t="str">
        <x:v>K06</x:v>
      </x:c>
      <x:c r="I13" s="22" t="str">
        <x:f>IF(AND(D13="Terminado",ISNUMBER(E13),ISNUMBER(F13),F13&gt;=E13),F13-E13,"")</x:f>
      </x:c>
      <x:c r="J13" s="20" t="str"/>
      <x:c r="K13" s="20"/>
      <x:c r="L13" s="20" t="str">
        <x:v>Alanis: P01; Juan Luis: P02; Niccol: P03; Janice: P04; Alessandra: P05. Registrar comprensión, acciones, dudas y decisión. Distribución propuesta.</x:v>
      </x:c>
      <x:c r="M13" s="15" t="str">
        <x:f>IF(Tablero!$B$4="","",IF(AND(D13="Terminado",ISNUMBER(F13),F13&gt;=Tablero!$B$4,F13&lt;Tablero!$B$4+7),1,0))</x:f>
      </x:c>
      <x:c r="N13" s="15" t="str">
        <x:f>IF(D13="Por hacer","",IF(NOT(ISNUMBER(E13)),"Falta inicio",IF(D13&lt;&gt;"Terminado","",IF(NOT(ISNUMBER(F13)),"Falta fin",IF(F13&lt;E13,"Revisar orden de fechas",IF(OR(J13="",K13=""),"Falta evidencia o revisor","Completo"))))))</x:f>
      </x:c>
      <x:c r="O13" s="23" t="str">
        <x:f>IF(AND(M13=1,ISNUMBER(I13)),I13,"")</x:f>
      </x:c>
    </x:row>
    <x:row r="14" ht="88" customHeight="1">
      <x:c r="A14" s="15" t="str">
        <x:v>K08</x:v>
      </x:c>
      <x:c r="B14" s="15" t="str">
        <x:v>Analizar resultados y justificar mejoras</x:v>
      </x:c>
      <x:c r="C14" s="20" t="str">
        <x:v>Grupo 6</x:v>
      </x:c>
      <x:c r="D14" s="20" t="str">
        <x:v>Por hacer</x:v>
      </x:c>
      <x:c r="E14" s="21"/>
      <x:c r="F14" s="21"/>
      <x:c r="G14" s="15" t="str">
        <x:v>Comparación de cinco registros; coincidencias, diferencias, límites y cambios vinculados con evidencia.</x:v>
      </x:c>
      <x:c r="H14" s="15" t="str">
        <x:v>K07</x:v>
      </x:c>
      <x:c r="I14" s="22" t="str">
        <x:f>IF(AND(D14="Terminado",ISNUMBER(E14),ISNUMBER(F14),F14&gt;=E14),F14-E14,"")</x:f>
      </x:c>
      <x:c r="J14" s="20" t="str"/>
      <x:c r="K14" s="20"/>
      <x:c r="L14" s="20" t="str">
        <x:v>No hay registros de estas pruebas nuevas en el Word. Mantener pendientes los resultados hasta completar la interacción.</x:v>
      </x:c>
      <x:c r="M14" s="15" t="str">
        <x:f>IF(Tablero!$B$4="","",IF(AND(D14="Terminado",ISNUMBER(F14),F14&gt;=Tablero!$B$4,F14&lt;Tablero!$B$4+7),1,0))</x:f>
      </x:c>
      <x:c r="N14" s="15" t="str">
        <x:f>IF(D14="Por hacer","",IF(NOT(ISNUMBER(E14)),"Falta inicio",IF(D14&lt;&gt;"Terminado","",IF(NOT(ISNUMBER(F14)),"Falta fin",IF(F14&lt;E14,"Revisar orden de fechas",IF(OR(J14="",K14=""),"Falta evidencia o revisor","Completo"))))))</x:f>
      </x:c>
      <x:c r="O14" s="23" t="str">
        <x:f>IF(AND(M14=1,ISNUMBER(I14)),I14,"")</x:f>
      </x:c>
    </x:row>
    <x:row r="15" ht="88" customHeight="1">
      <x:c r="A15" s="15" t="str">
        <x:v>K09</x:v>
      </x:c>
      <x:c r="B15" s="15" t="str">
        <x:v>Registrar seguimiento y métricas Kanban</x:v>
      </x:c>
      <x:c r="C15" s="20" t="str">
        <x:v>Grupo 6</x:v>
      </x:c>
      <x:c r="D15" s="20" t="str">
        <x:v>Por hacer</x:v>
      </x:c>
      <x:c r="E15" s="21"/>
      <x:c r="F15" s="21"/>
      <x:c r="G15" s="15" t="str">
        <x:v>Siete días reales, tres evidencias fechadas, métricas calculadas y cuello de botella analizado.</x:v>
      </x:c>
      <x:c r="H15" s="15" t="str">
        <x:v>Uso real del tablero</x:v>
      </x:c>
      <x:c r="I15" s="22" t="str">
        <x:f>IF(AND(D15="Terminado",ISNUMBER(E15),ISNUMBER(F15),F15&gt;=E15),F15-E15,"")</x:f>
      </x:c>
      <x:c r="J15" s="20" t="str"/>
      <x:c r="K15" s="20"/>
      <x:c r="L15" s="20" t="str">
        <x:v>El archivo muestra el estado actual reconstruido desde el Word. No acredita siete días de uso. Faltan fechas e historial real para calcular métricas.</x:v>
      </x:c>
      <x:c r="M15" s="15" t="str">
        <x:f>IF(Tablero!$B$4="","",IF(AND(D15="Terminado",ISNUMBER(F15),F15&gt;=Tablero!$B$4,F15&lt;Tablero!$B$4+7),1,0))</x:f>
      </x:c>
      <x:c r="N15" s="15" t="str">
        <x:f>IF(D15="Por hacer","",IF(NOT(ISNUMBER(E15)),"Falta inicio",IF(D15&lt;&gt;"Terminado","",IF(NOT(ISNUMBER(F15)),"Falta fin",IF(F15&lt;E15,"Revisar orden de fechas",IF(OR(J15="",K15=""),"Falta evidencia o revisor","Completo"))))))</x:f>
      </x:c>
      <x:c r="O15" s="23" t="str">
        <x:f>IF(AND(M15=1,ISNUMBER(I15)),I15,"")</x:f>
      </x:c>
    </x:row>
    <x:row r="16" ht="88" customHeight="1">
      <x:c r="A16" s="15" t="str">
        <x:v>K10</x:v>
      </x:c>
      <x:c r="B16" s="15" t="str">
        <x:v>Integrar informe y preparar PPT</x:v>
      </x:c>
      <x:c r="C16" s="20" t="str">
        <x:v>Grupo 6</x:v>
      </x:c>
      <x:c r="D16" s="20" t="str">
        <x:v>Por hacer</x:v>
      </x:c>
      <x:c r="E16" s="21"/>
      <x:c r="F16" s="21"/>
      <x:c r="G16" s="15" t="str">
        <x:v>Informe coherente y PPT de Lean Startup y Kanban revisados; resultados y limitaciones explícitos.</x:v>
      </x:c>
      <x:c r="H16" s="15" t="str">
        <x:v>K08 y K09</x:v>
      </x:c>
      <x:c r="I16" s="22" t="str">
        <x:f>IF(AND(D16="Terminado",ISNUMBER(E16),ISNUMBER(F16),F16&gt;=E16),F16-E16,"")</x:f>
      </x:c>
      <x:c r="J16" s="20" t="str"/>
      <x:c r="K16" s="20"/>
      <x:c r="L16" s="20" t="str">
        <x:v>Unificar las dos conclusiones 1.7 y el alcance del prototipo. Incorporar pruebas, tablero y seguimiento disponible; explicar lo que no se logró completar.</x:v>
      </x:c>
      <x:c r="M16" s="15" t="str">
        <x:f>IF(Tablero!$B$4="","",IF(AND(D16="Terminado",ISNUMBER(F16),F16&gt;=Tablero!$B$4,F16&lt;Tablero!$B$4+7),1,0))</x:f>
      </x:c>
      <x:c r="N16" s="15" t="str">
        <x:f>IF(D16="Por hacer","",IF(NOT(ISNUMBER(E16)),"Falta inicio",IF(D16&lt;&gt;"Terminado","",IF(NOT(ISNUMBER(F16)),"Falta fin",IF(F16&lt;E16,"Revisar orden de fechas",IF(OR(J16="",K16=""),"Falta evidencia o revisor","Completo"))))))</x:f>
      </x:c>
      <x:c r="O16" s="23" t="str">
        <x:f>IF(AND(M16=1,ISNUMBER(I16)),I16,"")</x:f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16" t="str">
        <x:v>HISTORIAL MANUAL DE MOVIMIENTOS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 t="str">
        <x:v>Registra cada cambio. El archivo actualiza el tablero, pero no guarda automáticamente estados anteriores.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4" customHeight="1">
      <x:c r="A22" s="19" t="str">
        <x:v>ID tarea</x:v>
      </x:c>
      <x:c r="B22" s="19" t="str">
        <x:v>Fecha y hora</x:v>
      </x:c>
      <x:c r="C22" s="19" t="str">
        <x:v>Responsable</x:v>
      </x:c>
      <x:c r="D22" s="19" t="str">
        <x:v>Estado anterior</x:v>
      </x:c>
      <x:c r="E22" s="19" t="str">
        <x:v>Estado nuevo</x:v>
      </x:c>
      <x:c r="F22" s="19" t="str">
        <x:v>Motivo / bloqueo</x:v>
      </x:c>
      <x:c r="G22" s="19" t="str">
        <x:v>Evidencia o comentario</x:v>
      </x:c>
      <x:c r="H22" s="19" t="str">
        <x:v>Acción siguiente</x:v>
      </x:c>
      <x:c r="I22" s="2"/>
      <x:c r="J22" s="2"/>
      <x:c r="K22" s="2"/>
      <x:c r="L22" s="2"/>
      <x:c r="M22" s="2"/>
      <x:c r="N22" s="2"/>
    </x:row>
    <x:row r="23" ht="26" customHeight="1">
      <x:c r="A23" s="26"/>
      <x:c r="B23" s="27"/>
      <x:c r="C23" s="26"/>
      <x:c r="D23" s="26"/>
      <x:c r="E23" s="26"/>
      <x:c r="F23" s="26"/>
      <x:c r="G23" s="26"/>
      <x:c r="H23" s="26"/>
      <x:c r="I23" s="2"/>
      <x:c r="J23" s="2"/>
      <x:c r="K23" s="2"/>
      <x:c r="L23" s="2"/>
      <x:c r="M23" s="2"/>
      <x:c r="N23" s="2"/>
    </x:row>
    <x:row r="24" ht="26" customHeight="1">
      <x:c r="A24" s="26"/>
      <x:c r="B24" s="27"/>
      <x:c r="C24" s="26"/>
      <x:c r="D24" s="26"/>
      <x:c r="E24" s="26"/>
      <x:c r="F24" s="26"/>
      <x:c r="G24" s="26"/>
      <x:c r="H24" s="26"/>
      <x:c r="I24" s="2"/>
      <x:c r="J24" s="2"/>
      <x:c r="K24" s="2"/>
      <x:c r="L24" s="2"/>
      <x:c r="M24" s="2"/>
      <x:c r="N24" s="2"/>
    </x:row>
    <x:row r="25" ht="26" customHeight="1">
      <x:c r="A25" s="26"/>
      <x:c r="B25" s="27"/>
      <x:c r="C25" s="26"/>
      <x:c r="D25" s="26"/>
      <x:c r="E25" s="26"/>
      <x:c r="F25" s="26"/>
      <x:c r="G25" s="26"/>
      <x:c r="H25" s="26"/>
      <x:c r="I25" s="2"/>
      <x:c r="J25" s="2"/>
      <x:c r="K25" s="2"/>
      <x:c r="L25" s="2"/>
      <x:c r="M25" s="2"/>
      <x:c r="N25" s="2"/>
    </x:row>
    <x:row r="26" ht="26" customHeight="1">
      <x:c r="A26" s="26"/>
      <x:c r="B26" s="27"/>
      <x:c r="C26" s="26"/>
      <x:c r="D26" s="26"/>
      <x:c r="E26" s="26"/>
      <x:c r="F26" s="26"/>
      <x:c r="G26" s="26"/>
      <x:c r="H26" s="26"/>
      <x:c r="I26" s="2"/>
      <x:c r="J26" s="2"/>
      <x:c r="K26" s="2"/>
      <x:c r="L26" s="2"/>
      <x:c r="M26" s="2"/>
      <x:c r="N26" s="2"/>
    </x:row>
    <x:row r="27" ht="26" customHeight="1">
      <x:c r="A27" s="26"/>
      <x:c r="B27" s="27"/>
      <x:c r="C27" s="26"/>
      <x:c r="D27" s="26"/>
      <x:c r="E27" s="26"/>
      <x:c r="F27" s="26"/>
      <x:c r="G27" s="26"/>
      <x:c r="H27" s="26"/>
      <x:c r="I27" s="2"/>
      <x:c r="J27" s="2"/>
      <x:c r="K27" s="2"/>
      <x:c r="L27" s="2"/>
      <x:c r="M27" s="2"/>
      <x:c r="N27" s="2"/>
    </x:row>
    <x:row r="28" ht="26" customHeight="1">
      <x:c r="A28" s="26"/>
      <x:c r="B28" s="27"/>
      <x:c r="C28" s="26"/>
      <x:c r="D28" s="26"/>
      <x:c r="E28" s="26"/>
      <x:c r="F28" s="26"/>
      <x:c r="G28" s="26"/>
      <x:c r="H28" s="26"/>
      <x:c r="I28" s="2"/>
      <x:c r="J28" s="2"/>
      <x:c r="K28" s="2"/>
      <x:c r="L28" s="2"/>
      <x:c r="M28" s="2"/>
      <x:c r="N28" s="2"/>
    </x:row>
    <x:row r="29" ht="26" customHeight="1">
      <x:c r="A29" s="26"/>
      <x:c r="B29" s="27"/>
      <x:c r="C29" s="26"/>
      <x:c r="D29" s="26"/>
      <x:c r="E29" s="26"/>
      <x:c r="F29" s="26"/>
      <x:c r="G29" s="26"/>
      <x:c r="H29" s="26"/>
      <x:c r="I29" s="2"/>
      <x:c r="J29" s="2"/>
      <x:c r="K29" s="2"/>
      <x:c r="L29" s="2"/>
      <x:c r="M29" s="2"/>
      <x:c r="N29" s="2"/>
    </x:row>
    <x:row r="30" ht="26" customHeight="1">
      <x:c r="A30" s="26"/>
      <x:c r="B30" s="27"/>
      <x:c r="C30" s="26"/>
      <x:c r="D30" s="26"/>
      <x:c r="E30" s="26"/>
      <x:c r="F30" s="26"/>
      <x:c r="G30" s="26"/>
      <x:c r="H30" s="26"/>
      <x:c r="I30" s="2"/>
      <x:c r="J30" s="2"/>
      <x:c r="K30" s="2"/>
      <x:c r="L30" s="2"/>
      <x:c r="M30" s="2"/>
      <x:c r="N30" s="2"/>
    </x:row>
    <x:row r="31" ht="26" customHeight="1">
      <x:c r="A31" s="26"/>
      <x:c r="B31" s="27"/>
      <x:c r="C31" s="26"/>
      <x:c r="D31" s="26"/>
      <x:c r="E31" s="26"/>
      <x:c r="F31" s="26"/>
      <x:c r="G31" s="26"/>
      <x:c r="H31" s="26"/>
      <x:c r="I31" s="2"/>
      <x:c r="J31" s="2"/>
      <x:c r="K31" s="2"/>
      <x:c r="L31" s="2"/>
      <x:c r="M31" s="2"/>
      <x:c r="N31" s="2"/>
    </x:row>
    <x:row r="32" ht="26" customHeight="1">
      <x:c r="A32" s="26"/>
      <x:c r="B32" s="27"/>
      <x:c r="C32" s="26"/>
      <x:c r="D32" s="26"/>
      <x:c r="E32" s="26"/>
      <x:c r="F32" s="26"/>
      <x:c r="G32" s="26"/>
      <x:c r="H32" s="26"/>
      <x:c r="I32" s="2"/>
      <x:c r="J32" s="2"/>
      <x:c r="K32" s="2"/>
      <x:c r="L32" s="2"/>
      <x:c r="M32" s="2"/>
      <x:c r="N32" s="2"/>
    </x:row>
    <x:row r="33" ht="26" customHeight="1">
      <x:c r="A33" s="26"/>
      <x:c r="B33" s="27"/>
      <x:c r="C33" s="26"/>
      <x:c r="D33" s="26"/>
      <x:c r="E33" s="26"/>
      <x:c r="F33" s="26"/>
      <x:c r="G33" s="26"/>
      <x:c r="H33" s="26"/>
      <x:c r="I33" s="2"/>
      <x:c r="J33" s="2"/>
      <x:c r="K33" s="2"/>
      <x:c r="L33" s="2"/>
      <x:c r="M33" s="2"/>
      <x:c r="N33" s="2"/>
    </x:row>
    <x:row r="34" ht="26" customHeight="1">
      <x:c r="A34" s="26"/>
      <x:c r="B34" s="27"/>
      <x:c r="C34" s="26"/>
      <x:c r="D34" s="26"/>
      <x:c r="E34" s="26"/>
      <x:c r="F34" s="26"/>
      <x:c r="G34" s="26"/>
      <x:c r="H34" s="26"/>
      <x:c r="I34" s="2"/>
      <x:c r="J34" s="2"/>
      <x:c r="K34" s="2"/>
      <x:c r="L34" s="2"/>
      <x:c r="M34" s="2"/>
      <x:c r="N34" s="2"/>
    </x:row>
    <x:row r="35" ht="26" customHeight="1">
      <x:c r="A35" s="26"/>
      <x:c r="B35" s="27"/>
      <x:c r="C35" s="26"/>
      <x:c r="D35" s="26"/>
      <x:c r="E35" s="26"/>
      <x:c r="F35" s="26"/>
      <x:c r="G35" s="26"/>
      <x:c r="H35" s="26"/>
      <x:c r="I35" s="2"/>
      <x:c r="J35" s="2"/>
      <x:c r="K35" s="2"/>
      <x:c r="L35" s="2"/>
      <x:c r="M35" s="2"/>
      <x:c r="N35" s="2"/>
    </x:row>
    <x:row r="36" ht="26" customHeight="1">
      <x:c r="A36" s="26"/>
      <x:c r="B36" s="27"/>
      <x:c r="C36" s="26"/>
      <x:c r="D36" s="26"/>
      <x:c r="E36" s="26"/>
      <x:c r="F36" s="26"/>
      <x:c r="G36" s="26"/>
      <x:c r="H36" s="26"/>
      <x:c r="I36" s="2"/>
      <x:c r="J36" s="2"/>
      <x:c r="K36" s="2"/>
      <x:c r="L36" s="2"/>
      <x:c r="M36" s="2"/>
      <x:c r="N36" s="2"/>
    </x:row>
    <x:row r="37" ht="26" customHeight="1">
      <x:c r="A37" s="26"/>
      <x:c r="B37" s="27"/>
      <x:c r="C37" s="26"/>
      <x:c r="D37" s="26"/>
      <x:c r="E37" s="26"/>
      <x:c r="F37" s="26"/>
      <x:c r="G37" s="26"/>
      <x:c r="H37" s="26"/>
      <x:c r="I37" s="2"/>
      <x:c r="J37" s="2"/>
      <x:c r="K37" s="2"/>
      <x:c r="L37" s="2"/>
      <x:c r="M37" s="2"/>
      <x:c r="N37" s="2"/>
    </x:row>
    <x:row r="38" ht="26" customHeight="1">
      <x:c r="A38" s="26"/>
      <x:c r="B38" s="27"/>
      <x:c r="C38" s="26"/>
      <x:c r="D38" s="26"/>
      <x:c r="E38" s="26"/>
      <x:c r="F38" s="26"/>
      <x:c r="G38" s="26"/>
      <x:c r="H38" s="26"/>
      <x:c r="I38" s="2"/>
      <x:c r="J38" s="2"/>
      <x:c r="K38" s="2"/>
      <x:c r="L38" s="2"/>
      <x:c r="M38" s="2"/>
      <x:c r="N38" s="2"/>
    </x:row>
    <x:row r="39" ht="26" customHeight="1">
      <x:c r="A39" s="26"/>
      <x:c r="B39" s="27"/>
      <x:c r="C39" s="26"/>
      <x:c r="D39" s="26"/>
      <x:c r="E39" s="26"/>
      <x:c r="F39" s="26"/>
      <x:c r="G39" s="26"/>
      <x:c r="H39" s="26"/>
      <x:c r="I39" s="2"/>
      <x:c r="J39" s="2"/>
      <x:c r="K39" s="2"/>
      <x:c r="L39" s="2"/>
      <x:c r="M39" s="2"/>
      <x:c r="N39" s="2"/>
    </x:row>
    <x:row r="40" ht="26" customHeight="1">
      <x:c r="A40" s="26"/>
      <x:c r="B40" s="27"/>
      <x:c r="C40" s="26"/>
      <x:c r="D40" s="26"/>
      <x:c r="E40" s="26"/>
      <x:c r="F40" s="26"/>
      <x:c r="G40" s="26"/>
      <x:c r="H40" s="26"/>
      <x:c r="I40" s="2"/>
      <x:c r="J40" s="2"/>
      <x:c r="K40" s="2"/>
      <x:c r="L40" s="2"/>
      <x:c r="M40" s="2"/>
      <x:c r="N40" s="2"/>
    </x:row>
    <x:row r="41" ht="26" customHeight="1">
      <x:c r="A41" s="26"/>
      <x:c r="B41" s="27"/>
      <x:c r="C41" s="26"/>
      <x:c r="D41" s="26"/>
      <x:c r="E41" s="26"/>
      <x:c r="F41" s="26"/>
      <x:c r="G41" s="26"/>
      <x:c r="H41" s="26"/>
      <x:c r="I41" s="2"/>
      <x:c r="J41" s="2"/>
      <x:c r="K41" s="2"/>
      <x:c r="L41" s="2"/>
      <x:c r="M41" s="2"/>
      <x:c r="N41" s="2"/>
    </x:row>
    <x:row r="42" ht="26" customHeight="1">
      <x:c r="A42" s="26"/>
      <x:c r="B42" s="27"/>
      <x:c r="C42" s="26"/>
      <x:c r="D42" s="26"/>
      <x:c r="E42" s="26"/>
      <x:c r="F42" s="26"/>
      <x:c r="G42" s="26"/>
      <x:c r="H42" s="26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 t="str">
        <x:v>Fuentes: Trabajo Design Thinking – Grupo 6 (2)(1).docx, apartados 1.3–1.8; primera captura del profesor; material Kanban del curso.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 t="str">
        <x:v>Terminado describe el entregable existente. No implica que haya terminado dentro de una semana de seguimiento Kanban.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/>
      <x:c r="B48"/>
      <x:c r="C48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70" customHeight="1">
      <x:c r="A49"/>
      <x:c r="B49"/>
      <x:c r="C49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70" customHeight="1">
      <x:c r="A50"/>
      <x:c r="B50"/>
      <x:c r="C50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70" customHeight="1">
      <x:c r="A51"/>
      <x:c r="B51"/>
      <x:c r="C5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70" customHeight="1">
      <x:c r="A52"/>
      <x:c r="B52"/>
      <x:c r="C5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70" customHeight="1">
      <x:c r="A53"/>
      <x:c r="B53"/>
      <x:c r="C53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</x:sheetData>
  <x:dataValidations count="3">
    <x:dataValidation type="list" sqref="D7:D16">
      <x:formula1>"Por hacer,En proceso,En revisión,Terminado"</x:formula1>
    </x:dataValidation>
    <x:dataValidation type="list" sqref="D23:D42">
      <x:formula1>"Por hacer,En proceso,En revisión,Terminado"</x:formula1>
    </x:dataValidation>
    <x:dataValidation type="list" sqref="E23:E42">
      <x:formula1>"Por hacer,En proceso,En revisión,Terminado"</x:formula1>
    </x:dataValidation>
  </x:dataValidations>
  <x:pageMargins left="0.7" right="0.7" top="0.75" bottom="0.75" header="0.3" footer="0.3"/>
</x:worksheet>
</file>